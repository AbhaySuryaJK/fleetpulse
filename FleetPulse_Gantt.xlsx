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<sst xmlns="http://schemas.openxmlformats.org/spreadsheetml/2006/main" count="94" uniqueCount="52">
  <si>
    <t xml:space="preserve">FleetPulse — 12-Week Gantt Chart</t>
  </si>
  <si>
    <t xml:space="preserve">Project start (Wednesday of Week 1):</t>
  </si>
  <si>
    <t xml:space="preserve">Edit the blue Start week, Duration and Status cells; bars and dates update automatically. Weeks run Wed → Tue.</t>
  </si>
  <si>
    <t xml:space="preserve">Phase</t>
  </si>
  <si>
    <t xml:space="preserve">Task</t>
  </si>
  <si>
    <t xml:space="preserve">Start week</t>
  </si>
  <si>
    <t xml:space="preserve">Duration (wks)</t>
  </si>
  <si>
    <t xml:space="preserve">End week</t>
  </si>
  <si>
    <t xml:space="preserve">Status</t>
  </si>
  <si>
    <t xml:space="preserve">1. Setup &amp; planning</t>
  </si>
  <si>
    <t xml:space="preserve">Sensor node EV-01 running in Wokwi</t>
  </si>
  <si>
    <t xml:space="preserve">Done</t>
  </si>
  <si>
    <t xml:space="preserve">GitHub repo, README, docs</t>
  </si>
  <si>
    <t xml:space="preserve">User &amp; expert interviews</t>
  </si>
  <si>
    <t xml:space="preserve">In progress</t>
  </si>
  <si>
    <t xml:space="preserve">PRD v2 with user insights</t>
  </si>
  <si>
    <t xml:space="preserve">Not started</t>
  </si>
  <si>
    <t xml:space="preserve">Gantt chart &amp; Kanban board</t>
  </si>
  <si>
    <t xml:space="preserve">Risk register review</t>
  </si>
  <si>
    <t xml:space="preserve">2. Data pipeline</t>
  </si>
  <si>
    <t xml:space="preserve">Cloud connection (MQTT)</t>
  </si>
  <si>
    <t xml:space="preserve">10-asset fleet simulator + fault injection</t>
  </si>
  <si>
    <t xml:space="preserve">Labeled dataset + exploration notebook</t>
  </si>
  <si>
    <t xml:space="preserve">3. Dashboard &amp; model</t>
  </si>
  <si>
    <t xml:space="preserve">Dashboard v1 (Streamlit)</t>
  </si>
  <si>
    <t xml:space="preserve">Anomaly detection: rules vs. Isolation Forest</t>
  </si>
  <si>
    <t xml:space="preserve">Buffer week (finals)</t>
  </si>
  <si>
    <t xml:space="preserve">Dashboard v2 + public deployment</t>
  </si>
  <si>
    <t xml:space="preserve">4. Business case</t>
  </si>
  <si>
    <t xml:space="preserve">Predictive vs. scheduled maintenance simulation</t>
  </si>
  <si>
    <t xml:space="preserve">Retrospective &amp; case study</t>
  </si>
  <si>
    <t xml:space="preserve">5. Launch</t>
  </si>
  <si>
    <t xml:space="preserve">Demo video, final post, resume update</t>
  </si>
  <si>
    <t xml:space="preserve">Ongoing</t>
  </si>
  <si>
    <t xml:space="preserve">Weekly status update (every Tuesday)</t>
  </si>
  <si>
    <t xml:space="preserve">LinkedIn</t>
  </si>
  <si>
    <t xml:space="preserve">◆ Kickoff post</t>
  </si>
  <si>
    <t xml:space="preserve">◆ Research post (1960 paper)</t>
  </si>
  <si>
    <t xml:space="preserve">◆ Feedback poll</t>
  </si>
  <si>
    <t xml:space="preserve">◆ Post 2: the PM side</t>
  </si>
  <si>
    <t xml:space="preserve">◆ Post 3: first data</t>
  </si>
  <si>
    <t xml:space="preserve">◆ Post 4: dashboard demo</t>
  </si>
  <si>
    <t xml:space="preserve">◆ Post 5: business case</t>
  </si>
  <si>
    <t xml:space="preserve">◆ Post 6: wrap-up</t>
  </si>
  <si>
    <t xml:space="preserve">Progress summary</t>
  </si>
  <si>
    <t xml:space="preserve">Tasks done</t>
  </si>
  <si>
    <t xml:space="preserve">Tasks in progress</t>
  </si>
  <si>
    <t xml:space="preserve">Total tasks</t>
  </si>
  <si>
    <t xml:space="preserve">% tasks done</t>
  </si>
  <si>
    <t xml:space="preserve">Legend:</t>
  </si>
  <si>
    <t xml:space="preserve">Planned</t>
  </si>
  <si>
    <t xml:space="preserve">◆ = milestone (LinkedIn post). Blue text = editable inputs. Source: FleetPulse 12-week plan (PRD).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</si>
</sst>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d&quot;, &quot;yyyy"/>
    <numFmt numFmtId="166" formatCode="General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2ECC71"/>
        <bgColor rgb="FF339966"/>
      </patternFill>
    </fill>
    <fill>
      <patternFill patternType="solid">
        <fgColor rgb="FFF1C40F"/>
        <bgColor rgb="FFFF9900"/>
      </patternFill>
    </fill>
    <fill>
      <patternFill patternType="solid">
        <fgColor rgb="FF4DA3FF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2ECC71"/>
        </patternFill>
      </fill>
    </dxf>
    <dxf>
      <fill>
        <patternFill>
          <bgColor rgb="FFF1C40F"/>
        </patternFill>
      </fill>
    </dxf>
    <dxf>
      <fill>
        <patternFill>
          <bgColor rgb="FF4DA3FF"/>
        </patternFill>
      </fill>
    </dxf>
    <dxf>
      <fill>
        <patternFill>
          <bgColor rgb="FFD5F5E3"/>
        </patternFill>
      </fill>
    </dxf>
    <dxf>
      <fill>
        <patternFill>
          <bgColor rgb="FFFCF3CF"/>
        </patternFill>
      </fill>
    </dxf>
    <dxf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4DA3FF"/>
      <rgbColor rgb="FF993366"/>
      <rgbColor rgb="FFFCF3CF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2ECC71"/>
      <rgbColor rgb="FF99CC00"/>
      <rgbColor rgb="FFF1C40F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G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4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3"/>
    <col collapsed="false" customWidth="true" hidden="false" outlineLevel="0" max="18" min="7" style="1" width="8.5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C2" s="4" t="n">
        <v>46316</v>
      </c>
      <c r="E2" s="5" t="s">
        <v>2</v>
      </c>
    </row>
    <row r="4" customFormat="false" ht="31.5" hidden="false" customHeight="true" outlineLevel="0" collapsed="false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tr">
        <f aca="false">"W1"&amp;CHAR(10)&amp;TEXT($C$2+0,"mmm d")</f>
        <v>W1
Oct 21</v>
      </c>
      <c r="H4" s="6" t="str">
        <f aca="false">"W2"&amp;CHAR(10)&amp;TEXT($C$2+7,"mmm d")</f>
        <v>W2
Oct 28</v>
      </c>
      <c r="I4" s="6" t="str">
        <f aca="false">"W3"&amp;CHAR(10)&amp;TEXT($C$2+14,"mmm d")</f>
        <v>W3
Nov 4</v>
      </c>
      <c r="J4" s="6" t="str">
        <f aca="false">"W4"&amp;CHAR(10)&amp;TEXT($C$2+21,"mmm d")</f>
        <v>W4
Nov 11</v>
      </c>
      <c r="K4" s="6" t="str">
        <f aca="false">"W5"&amp;CHAR(10)&amp;TEXT($C$2+28,"mmm d")</f>
        <v>W5
Nov 18</v>
      </c>
      <c r="L4" s="6" t="str">
        <f aca="false">"W6"&amp;CHAR(10)&amp;TEXT($C$2+35,"mmm d")</f>
        <v>W6
Nov 25</v>
      </c>
      <c r="M4" s="6" t="str">
        <f aca="false">"W7"&amp;CHAR(10)&amp;TEXT($C$2+42,"mmm d")</f>
        <v>W7
Dec 2</v>
      </c>
      <c r="N4" s="6" t="str">
        <f aca="false">"W8"&amp;CHAR(10)&amp;TEXT($C$2+49,"mmm d")</f>
        <v>W8
Dec 9</v>
      </c>
      <c r="O4" s="6" t="str">
        <f aca="false">"W9"&amp;CHAR(10)&amp;TEXT($C$2+56,"mmm d")</f>
        <v>W9
Dec 16</v>
      </c>
      <c r="P4" s="6" t="str">
        <f aca="false">"W10"&amp;CHAR(10)&amp;TEXT($C$2+63,"mmm d")</f>
        <v>W10
Dec 23</v>
      </c>
      <c r="Q4" s="6" t="str">
        <f aca="false">"W11"&amp;CHAR(10)&amp;TEXT($C$2+70,"mmm d")</f>
        <v>W11
Dec 30</v>
      </c>
      <c r="R4" s="6" t="str">
        <f aca="false">"W12"&amp;CHAR(10)&amp;TEXT($C$2+77,"mmm d")</f>
        <v>W12
Jan 6</v>
      </c>
    </row>
    <row r="5" customFormat="false" ht="15" hidden="true" customHeight="false" outlineLevel="0" collapsed="false">
      <c r="G5" s="1" t="n">
        <v>1</v>
      </c>
      <c r="H5" s="1" t="n">
        <v>2</v>
      </c>
      <c r="I5" s="1" t="n">
        <v>3</v>
      </c>
      <c r="J5" s="1" t="n">
        <v>4</v>
      </c>
      <c r="K5" s="1" t="n">
        <v>5</v>
      </c>
      <c r="L5" s="1" t="n">
        <v>6</v>
      </c>
      <c r="M5" s="1" t="n">
        <v>7</v>
      </c>
      <c r="N5" s="1" t="n">
        <v>8</v>
      </c>
      <c r="O5" s="1" t="n">
        <v>9</v>
      </c>
      <c r="P5" s="1" t="n">
        <v>10</v>
      </c>
      <c r="Q5" s="1" t="n">
        <v>11</v>
      </c>
      <c r="R5" s="1" t="n">
        <v>12</v>
      </c>
    </row>
    <row r="6" customFormat="false" ht="15" hidden="false" customHeight="false" outlineLevel="0" collapsed="false">
      <c r="A6" s="7" t="s">
        <v>9</v>
      </c>
      <c r="B6" s="7" t="s">
        <v>10</v>
      </c>
      <c r="C6" s="8" t="n">
        <v>1</v>
      </c>
      <c r="D6" s="8" t="n">
        <v>1</v>
      </c>
      <c r="E6" s="9" t="n">
        <f aca="false">C6+D6-1</f>
        <v>1</v>
      </c>
      <c r="F6" s="8" t="s">
        <v>11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customFormat="false" ht="15" hidden="false" customHeight="false" outlineLevel="0" collapsed="false">
      <c r="A7" s="7" t="s">
        <v>9</v>
      </c>
      <c r="B7" s="7" t="s">
        <v>12</v>
      </c>
      <c r="C7" s="8" t="n">
        <v>1</v>
      </c>
      <c r="D7" s="8" t="n">
        <v>1</v>
      </c>
      <c r="E7" s="9" t="n">
        <f aca="false">C7+D7-1</f>
        <v>1</v>
      </c>
      <c r="F7" s="8" t="s">
        <v>11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customFormat="false" ht="15" hidden="false" customHeight="false" outlineLevel="0" collapsed="false">
      <c r="A8" s="7" t="s">
        <v>9</v>
      </c>
      <c r="B8" s="7" t="s">
        <v>13</v>
      </c>
      <c r="C8" s="8" t="n">
        <v>1</v>
      </c>
      <c r="D8" s="8" t="n">
        <v>2</v>
      </c>
      <c r="E8" s="9" t="n">
        <f aca="false">C8+D8-1</f>
        <v>2</v>
      </c>
      <c r="F8" s="8" t="s">
        <v>14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customFormat="false" ht="15" hidden="false" customHeight="false" outlineLevel="0" collapsed="false">
      <c r="A9" s="7" t="s">
        <v>9</v>
      </c>
      <c r="B9" s="7" t="s">
        <v>15</v>
      </c>
      <c r="C9" s="8" t="n">
        <v>2</v>
      </c>
      <c r="D9" s="8" t="n">
        <v>1</v>
      </c>
      <c r="E9" s="9" t="n">
        <f aca="false">C9+D9-1</f>
        <v>2</v>
      </c>
      <c r="F9" s="8" t="s">
        <v>16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customFormat="false" ht="15" hidden="false" customHeight="false" outlineLevel="0" collapsed="false">
      <c r="A10" s="7" t="s">
        <v>9</v>
      </c>
      <c r="B10" s="7" t="s">
        <v>17</v>
      </c>
      <c r="C10" s="8" t="n">
        <v>2</v>
      </c>
      <c r="D10" s="8" t="n">
        <v>1</v>
      </c>
      <c r="E10" s="9" t="n">
        <f aca="false">C10+D10-1</f>
        <v>2</v>
      </c>
      <c r="F10" s="8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customFormat="false" ht="15" hidden="false" customHeight="false" outlineLevel="0" collapsed="false">
      <c r="A11" s="7" t="s">
        <v>9</v>
      </c>
      <c r="B11" s="7" t="s">
        <v>18</v>
      </c>
      <c r="C11" s="8" t="n">
        <v>2</v>
      </c>
      <c r="D11" s="8" t="n">
        <v>1</v>
      </c>
      <c r="E11" s="9" t="n">
        <f aca="false">C11+D11-1</f>
        <v>2</v>
      </c>
      <c r="F11" s="8" t="s">
        <v>16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customFormat="false" ht="15" hidden="false" customHeight="false" outlineLevel="0" collapsed="false">
      <c r="A12" s="7" t="s">
        <v>19</v>
      </c>
      <c r="B12" s="7" t="s">
        <v>20</v>
      </c>
      <c r="C12" s="8" t="n">
        <v>3</v>
      </c>
      <c r="D12" s="8" t="n">
        <v>1</v>
      </c>
      <c r="E12" s="9" t="n">
        <f aca="false">C12+D12-1</f>
        <v>3</v>
      </c>
      <c r="F12" s="8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customFormat="false" ht="15" hidden="false" customHeight="false" outlineLevel="0" collapsed="false">
      <c r="A13" s="7" t="s">
        <v>19</v>
      </c>
      <c r="B13" s="7" t="s">
        <v>21</v>
      </c>
      <c r="C13" s="8" t="n">
        <v>4</v>
      </c>
      <c r="D13" s="8" t="n">
        <v>1</v>
      </c>
      <c r="E13" s="9" t="n">
        <f aca="false">C13+D13-1</f>
        <v>4</v>
      </c>
      <c r="F13" s="8" t="s">
        <v>16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customFormat="false" ht="15" hidden="false" customHeight="false" outlineLevel="0" collapsed="false">
      <c r="A14" s="7" t="s">
        <v>19</v>
      </c>
      <c r="B14" s="7" t="s">
        <v>22</v>
      </c>
      <c r="C14" s="8" t="n">
        <v>5</v>
      </c>
      <c r="D14" s="8" t="n">
        <v>1</v>
      </c>
      <c r="E14" s="9" t="n">
        <f aca="false">C14+D14-1</f>
        <v>5</v>
      </c>
      <c r="F14" s="8" t="s">
        <v>16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customFormat="false" ht="15" hidden="false" customHeight="false" outlineLevel="0" collapsed="false">
      <c r="A15" s="7" t="s">
        <v>23</v>
      </c>
      <c r="B15" s="7" t="s">
        <v>24</v>
      </c>
      <c r="C15" s="8" t="n">
        <v>6</v>
      </c>
      <c r="D15" s="8" t="n">
        <v>1</v>
      </c>
      <c r="E15" s="9" t="n">
        <f aca="false">C15+D15-1</f>
        <v>6</v>
      </c>
      <c r="F15" s="8" t="s">
        <v>16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customFormat="false" ht="15" hidden="false" customHeight="false" outlineLevel="0" collapsed="false">
      <c r="A16" s="7" t="s">
        <v>23</v>
      </c>
      <c r="B16" s="7" t="s">
        <v>25</v>
      </c>
      <c r="C16" s="8" t="n">
        <v>7</v>
      </c>
      <c r="D16" s="8" t="n">
        <v>1</v>
      </c>
      <c r="E16" s="9" t="n">
        <f aca="false">C16+D16-1</f>
        <v>7</v>
      </c>
      <c r="F16" s="8" t="s">
        <v>16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customFormat="false" ht="15" hidden="false" customHeight="false" outlineLevel="0" collapsed="false">
      <c r="A17" s="7" t="s">
        <v>23</v>
      </c>
      <c r="B17" s="7" t="s">
        <v>26</v>
      </c>
      <c r="C17" s="8" t="n">
        <v>8</v>
      </c>
      <c r="D17" s="8" t="n">
        <v>1</v>
      </c>
      <c r="E17" s="9" t="n">
        <f aca="false">C17+D17-1</f>
        <v>8</v>
      </c>
      <c r="F17" s="8" t="s">
        <v>16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customFormat="false" ht="15" hidden="false" customHeight="false" outlineLevel="0" collapsed="false">
      <c r="A18" s="7" t="s">
        <v>23</v>
      </c>
      <c r="B18" s="7" t="s">
        <v>27</v>
      </c>
      <c r="C18" s="8" t="n">
        <v>9</v>
      </c>
      <c r="D18" s="8" t="n">
        <v>1</v>
      </c>
      <c r="E18" s="9" t="n">
        <f aca="false">C18+D18-1</f>
        <v>9</v>
      </c>
      <c r="F18" s="8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customFormat="false" ht="15" hidden="false" customHeight="false" outlineLevel="0" collapsed="false">
      <c r="A19" s="7" t="s">
        <v>28</v>
      </c>
      <c r="B19" s="7" t="s">
        <v>29</v>
      </c>
      <c r="C19" s="8" t="n">
        <v>10</v>
      </c>
      <c r="D19" s="8" t="n">
        <v>1</v>
      </c>
      <c r="E19" s="9" t="n">
        <f aca="false">C19+D19-1</f>
        <v>10</v>
      </c>
      <c r="F19" s="8" t="s">
        <v>16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customFormat="false" ht="15" hidden="false" customHeight="false" outlineLevel="0" collapsed="false">
      <c r="A20" s="7" t="s">
        <v>28</v>
      </c>
      <c r="B20" s="7" t="s">
        <v>30</v>
      </c>
      <c r="C20" s="8" t="n">
        <v>11</v>
      </c>
      <c r="D20" s="8" t="n">
        <v>1</v>
      </c>
      <c r="E20" s="9" t="n">
        <f aca="false">C20+D20-1</f>
        <v>11</v>
      </c>
      <c r="F20" s="8" t="s">
        <v>16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customFormat="false" ht="15" hidden="false" customHeight="false" outlineLevel="0" collapsed="false">
      <c r="A21" s="7" t="s">
        <v>31</v>
      </c>
      <c r="B21" s="7" t="s">
        <v>32</v>
      </c>
      <c r="C21" s="8" t="n">
        <v>12</v>
      </c>
      <c r="D21" s="8" t="n">
        <v>1</v>
      </c>
      <c r="E21" s="9" t="n">
        <f aca="false">C21+D21-1</f>
        <v>12</v>
      </c>
      <c r="F21" s="8" t="s">
        <v>16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customFormat="false" ht="15" hidden="false" customHeight="false" outlineLevel="0" collapsed="false">
      <c r="A22" s="7" t="s">
        <v>33</v>
      </c>
      <c r="B22" s="7" t="s">
        <v>34</v>
      </c>
      <c r="C22" s="8" t="n">
        <v>1</v>
      </c>
      <c r="D22" s="8" t="n">
        <v>12</v>
      </c>
      <c r="E22" s="9" t="n">
        <f aca="false">C22+D22-1</f>
        <v>12</v>
      </c>
      <c r="F22" s="8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customFormat="false" ht="15" hidden="false" customHeight="false" outlineLevel="0" collapsed="false">
      <c r="A23" s="7" t="s">
        <v>35</v>
      </c>
      <c r="B23" s="7" t="s">
        <v>36</v>
      </c>
      <c r="C23" s="8" t="n">
        <v>1</v>
      </c>
      <c r="D23" s="8" t="n">
        <v>1</v>
      </c>
      <c r="E23" s="9" t="n">
        <f aca="false">C23+D23-1</f>
        <v>1</v>
      </c>
      <c r="F23" s="8" t="s">
        <v>11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customFormat="false" ht="15" hidden="false" customHeight="false" outlineLevel="0" collapsed="false">
      <c r="A24" s="7" t="s">
        <v>35</v>
      </c>
      <c r="B24" s="7" t="s">
        <v>37</v>
      </c>
      <c r="C24" s="8" t="n">
        <v>1</v>
      </c>
      <c r="D24" s="8" t="n">
        <v>1</v>
      </c>
      <c r="E24" s="9" t="n">
        <f aca="false">C24+D24-1</f>
        <v>1</v>
      </c>
      <c r="F24" s="8" t="s">
        <v>11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customFormat="false" ht="15" hidden="false" customHeight="false" outlineLevel="0" collapsed="false">
      <c r="A25" s="7" t="s">
        <v>35</v>
      </c>
      <c r="B25" s="7" t="s">
        <v>38</v>
      </c>
      <c r="C25" s="8" t="n">
        <v>2</v>
      </c>
      <c r="D25" s="8" t="n">
        <v>1</v>
      </c>
      <c r="E25" s="9" t="n">
        <f aca="false">C25+D25-1</f>
        <v>2</v>
      </c>
      <c r="F25" s="8" t="s">
        <v>14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customFormat="false" ht="15" hidden="false" customHeight="false" outlineLevel="0" collapsed="false">
      <c r="A26" s="7" t="s">
        <v>35</v>
      </c>
      <c r="B26" s="7" t="s">
        <v>39</v>
      </c>
      <c r="C26" s="8" t="n">
        <v>4</v>
      </c>
      <c r="D26" s="8" t="n">
        <v>1</v>
      </c>
      <c r="E26" s="9" t="n">
        <f aca="false">C26+D26-1</f>
        <v>4</v>
      </c>
      <c r="F26" s="8" t="s">
        <v>16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customFormat="false" ht="15" hidden="false" customHeight="false" outlineLevel="0" collapsed="false">
      <c r="A27" s="7" t="s">
        <v>35</v>
      </c>
      <c r="B27" s="7" t="s">
        <v>40</v>
      </c>
      <c r="C27" s="8" t="n">
        <v>6</v>
      </c>
      <c r="D27" s="8" t="n">
        <v>1</v>
      </c>
      <c r="E27" s="9" t="n">
        <f aca="false">C27+D27-1</f>
        <v>6</v>
      </c>
      <c r="F27" s="8" t="s">
        <v>16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customFormat="false" ht="15" hidden="false" customHeight="false" outlineLevel="0" collapsed="false">
      <c r="A28" s="7" t="s">
        <v>35</v>
      </c>
      <c r="B28" s="7" t="s">
        <v>41</v>
      </c>
      <c r="C28" s="8" t="n">
        <v>9</v>
      </c>
      <c r="D28" s="8" t="n">
        <v>1</v>
      </c>
      <c r="E28" s="9" t="n">
        <f aca="false">C28+D28-1</f>
        <v>9</v>
      </c>
      <c r="F28" s="8" t="s">
        <v>16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customFormat="false" ht="15" hidden="false" customHeight="false" outlineLevel="0" collapsed="false">
      <c r="A29" s="7" t="s">
        <v>35</v>
      </c>
      <c r="B29" s="7" t="s">
        <v>42</v>
      </c>
      <c r="C29" s="8" t="n">
        <v>11</v>
      </c>
      <c r="D29" s="8" t="n">
        <v>1</v>
      </c>
      <c r="E29" s="9" t="n">
        <f aca="false">C29+D29-1</f>
        <v>11</v>
      </c>
      <c r="F29" s="8" t="s">
        <v>16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customFormat="false" ht="15" hidden="false" customHeight="false" outlineLevel="0" collapsed="false">
      <c r="A30" s="7" t="s">
        <v>35</v>
      </c>
      <c r="B30" s="7" t="s">
        <v>43</v>
      </c>
      <c r="C30" s="8" t="n">
        <v>12</v>
      </c>
      <c r="D30" s="8" t="n">
        <v>1</v>
      </c>
      <c r="E30" s="9" t="n">
        <f aca="false">C30+D30-1</f>
        <v>12</v>
      </c>
      <c r="F30" s="8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2" customFormat="false" ht="15" hidden="false" customHeight="false" outlineLevel="0" collapsed="false">
      <c r="A32" s="11" t="s">
        <v>44</v>
      </c>
    </row>
    <row r="33" customFormat="false" ht="15" hidden="false" customHeight="false" outlineLevel="0" collapsed="false">
      <c r="A33" s="3" t="s">
        <v>45</v>
      </c>
      <c r="B33" s="12" t="n">
        <f aca="false">COUNTIF(F6:F22,"Done")</f>
        <v>2</v>
      </c>
    </row>
    <row r="34" customFormat="false" ht="15" hidden="false" customHeight="false" outlineLevel="0" collapsed="false">
      <c r="A34" s="3" t="s">
        <v>46</v>
      </c>
      <c r="B34" s="12" t="n">
        <f aca="false">COUNTIF(F6:F22,"In progress")</f>
        <v>3</v>
      </c>
    </row>
    <row r="35" customFormat="false" ht="15" hidden="false" customHeight="false" outlineLevel="0" collapsed="false">
      <c r="A35" s="3" t="s">
        <v>47</v>
      </c>
      <c r="B35" s="12" t="n">
        <f aca="false">COUNTA(B6:B22)</f>
        <v>17</v>
      </c>
    </row>
    <row r="36" customFormat="false" ht="15" hidden="false" customHeight="false" outlineLevel="0" collapsed="false">
      <c r="A36" s="3" t="s">
        <v>48</v>
      </c>
      <c r="B36" s="13" t="n">
        <f aca="false">IFERROR(B33/B35,0)</f>
        <v>0.117647058823529</v>
      </c>
    </row>
    <row r="38" customFormat="false" ht="15" hidden="false" customHeight="false" outlineLevel="0" collapsed="false">
      <c r="A38" s="14" t="s">
        <v>49</v>
      </c>
    </row>
    <row r="39" customFormat="false" ht="15" hidden="false" customHeight="false" outlineLevel="0" collapsed="false">
      <c r="A39" s="15"/>
      <c r="B39" s="3" t="s">
        <v>11</v>
      </c>
    </row>
    <row r="40" customFormat="false" ht="15" hidden="false" customHeight="false" outlineLevel="0" collapsed="false">
      <c r="A40" s="16"/>
      <c r="B40" s="3" t="s">
        <v>14</v>
      </c>
    </row>
    <row r="41" customFormat="false" ht="15" hidden="false" customHeight="false" outlineLevel="0" collapsed="false">
      <c r="A41" s="17"/>
      <c r="B41" s="3" t="s">
        <v>50</v>
      </c>
    </row>
    <row r="42" customFormat="false" ht="15" hidden="false" customHeight="false" outlineLevel="0" collapsed="false">
      <c r="A42" s="5" t="s">
        <v>51</v>
      </c>
    </row>
  </sheetData>
  <conditionalFormatting sqref="G6:R30">
    <cfRule type="expression" priority="2" aboveAverage="0" equalAverage="0" bottom="0" percent="0" rank="0" text="" dxfId="0">
      <formula>AND(G$5&gt;=$C6,G$5&lt;=$E6,$F6="Done")</formula>
    </cfRule>
    <cfRule type="expression" priority="3" aboveAverage="0" equalAverage="0" bottom="0" percent="0" rank="0" text="" dxfId="1">
      <formula>AND(G$5&gt;=$C6,G$5&lt;=$E6,$F6="In progress")</formula>
    </cfRule>
    <cfRule type="expression" priority="4" aboveAverage="0" equalAverage="0" bottom="0" percent="0" rank="0" text="" dxfId="2">
      <formula>AND(G$5&gt;=$C6,G$5&lt;=$E6)</formula>
    </cfRule>
  </conditionalFormatting>
  <conditionalFormatting sqref="F6:F30">
    <cfRule type="expression" priority="5" aboveAverage="0" equalAverage="0" bottom="0" percent="0" rank="0" text="" dxfId="3">
      <formula>$F6="Done"</formula>
    </cfRule>
    <cfRule type="expression" priority="6" aboveAverage="0" equalAverage="0" bottom="0" percent="0" rank="0" text="" dxfId="4">
      <formula>$F6="In progress"</formula>
    </cfRule>
    <cfRule type="expression" priority="7" aboveAverage="0" equalAverage="0" bottom="0" percent="0" rank="0" text="" dxfId="5">
      <formula>$F6="Blocked"</formula>
    </cfRule>
  </conditionalFormatting>
  <dataValidations count="1">
    <dataValidation allowBlank="true" errorStyle="stop" operator="between" showDropDown="false" showErrorMessage="false" showInputMessage="false" sqref="F6:F30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2026-10-27T06:00:13Z</dcterms:created>
  <dc:creator>openpyxl</dc:creator>
  <dc:description/>
  <dc:language>en-US</dc:language>
  <cp:lastModifiedBy/>
  <dcterms:modified xsi:type="dcterms:W3CDTF">2026-10-27T06:00:13Z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